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dev\workspace_eclipse\kisrating_front\src\main\webapp\WEB-INF\excel\"/>
    </mc:Choice>
  </mc:AlternateContent>
  <bookViews>
    <workbookView xWindow="0" yWindow="0" windowWidth="20490" windowHeight="7860"/>
  </bookViews>
  <sheets>
    <sheet name="등급별금리스프레드(20260110)" sheetId="1" r:id="rId1"/>
  </sheets>
  <calcPr calcId="0"/>
</workbook>
</file>

<file path=xl/sharedStrings.xml><?xml version="1.0" encoding="utf-8"?>
<sst xmlns="http://schemas.openxmlformats.org/spreadsheetml/2006/main" count="664" uniqueCount="200">
  <si>
    <t>구분</t>
  </si>
  <si>
    <t>3월</t>
  </si>
  <si>
    <t>6월</t>
  </si>
  <si>
    <t>9월</t>
  </si>
  <si>
    <t>1년</t>
  </si>
  <si>
    <t>1년6월</t>
  </si>
  <si>
    <t>2년</t>
  </si>
  <si>
    <t>3년</t>
  </si>
  <si>
    <t>5년</t>
  </si>
  <si>
    <t>&lt;/jx:forEach&gt;</t>
    <phoneticPr fontId="21" type="noConversion"/>
  </si>
  <si>
    <t>${list.grade}</t>
  </si>
  <si>
    <t>${list.rate3}</t>
  </si>
  <si>
    <t>${list.rate6}</t>
  </si>
  <si>
    <t>${list.rate9}</t>
  </si>
  <si>
    <t>${list.rate12}</t>
  </si>
  <si>
    <t>${list.rate18}</t>
    <phoneticPr fontId="20" type="noConversion"/>
  </si>
  <si>
    <t>${list.rate24}</t>
    <phoneticPr fontId="20" type="noConversion"/>
  </si>
  <si>
    <t>${list.rate36}</t>
    <phoneticPr fontId="20" type="noConversion"/>
  </si>
  <si>
    <t>${list.rate60}</t>
    <phoneticPr fontId="20" type="noConversion"/>
  </si>
  <si>
    <t>&lt;jx:forEach var="list"   items="${dataList2}" varStatus="status"&gt;</t>
    <phoneticPr fontId="21" type="noConversion"/>
  </si>
  <si>
    <t>등급분포 - 등급별 금리스프레드 - 수익률(${paramMap.startDt})</t>
    <phoneticPr fontId="20" type="noConversion"/>
  </si>
  <si>
    <t>등급분포 - 등급별 금리스프레드 - 스프레드(${paramMap.startDt})</t>
    <phoneticPr fontId="20" type="noConversion"/>
  </si>
  <si>
    <t>&lt;jx:forEach var="list"   items="${dataList1}" varStatus="status"&gt;</t>
    <phoneticPr fontId="21" type="noConversion"/>
  </si>
  <si>
    <t>#,###</t>
    <phoneticPr fontId="20" type="noConversion"/>
  </si>
  <si>
    <t>&lt;/jx:if&gt;</t>
    <phoneticPr fontId="20" type="noConversion"/>
  </si>
  <si>
    <t>$[TEXT(N15, M15)]</t>
  </si>
  <si>
    <t>$[TEXT(O15, M15)]</t>
  </si>
  <si>
    <t>$[TEXT(P15, M15)]</t>
  </si>
  <si>
    <t>$[TEXT(Q15, M15)]</t>
  </si>
  <si>
    <t>$[TEXT(R15, M15)]</t>
  </si>
  <si>
    <t>$[TEXT(S15, M15)]</t>
  </si>
  <si>
    <t>$[TEXT(T15, M15)]</t>
  </si>
  <si>
    <t>$[TEXT(U15, M15)]</t>
  </si>
  <si>
    <t>&lt;jx:if test="${status.index &lt; 1}"&gt;</t>
    <phoneticPr fontId="20" type="noConversion"/>
  </si>
  <si>
    <t>&lt;jx:if test="${status.index &gt;= 1}"&gt;</t>
    <phoneticPr fontId="20" type="noConversion"/>
  </si>
  <si>
    <t>등급분포 - 등급별 금리스프레드 - 수익률(2026.01.09)</t>
  </si>
  <si>
    <t>국고채</t>
  </si>
  <si>
    <t>2.39</t>
  </si>
  <si>
    <t>2.37</t>
  </si>
  <si>
    <t>2.45</t>
  </si>
  <si>
    <t>2.51</t>
  </si>
  <si>
    <t>2.75</t>
  </si>
  <si>
    <t>2.82</t>
  </si>
  <si>
    <t>2.94</t>
  </si>
  <si>
    <t>3.19</t>
  </si>
  <si>
    <t>AAA</t>
  </si>
  <si>
    <t>2.85</t>
  </si>
  <si>
    <t>2.87</t>
  </si>
  <si>
    <t>2.90</t>
  </si>
  <si>
    <t>2.96</t>
  </si>
  <si>
    <t>2.99</t>
  </si>
  <si>
    <t>3.15</t>
  </si>
  <si>
    <t>3.28</t>
  </si>
  <si>
    <t>3.51</t>
  </si>
  <si>
    <t>AA+</t>
  </si>
  <si>
    <t>2.91</t>
  </si>
  <si>
    <t>2.92</t>
  </si>
  <si>
    <t>3.05</t>
  </si>
  <si>
    <t>3.22</t>
  </si>
  <si>
    <t>3.36</t>
  </si>
  <si>
    <t>3.57</t>
  </si>
  <si>
    <t>AA</t>
  </si>
  <si>
    <t>2.98</t>
  </si>
  <si>
    <t>3.02</t>
  </si>
  <si>
    <t>3.07</t>
  </si>
  <si>
    <t>3.24</t>
  </si>
  <si>
    <t>3.39</t>
  </si>
  <si>
    <t>3.64</t>
  </si>
  <si>
    <t>AA-</t>
  </si>
  <si>
    <t>2.97</t>
  </si>
  <si>
    <t>3.06</t>
  </si>
  <si>
    <t>3.10</t>
  </si>
  <si>
    <t>3.29</t>
  </si>
  <si>
    <t>3.44</t>
  </si>
  <si>
    <t>3.74</t>
  </si>
  <si>
    <t>A+</t>
  </si>
  <si>
    <t>3.00</t>
  </si>
  <si>
    <t>3.11</t>
  </si>
  <si>
    <t>3.38</t>
  </si>
  <si>
    <t>3.62</t>
  </si>
  <si>
    <t>3.86</t>
  </si>
  <si>
    <t>4.46</t>
  </si>
  <si>
    <t>A</t>
  </si>
  <si>
    <t>3.14</t>
  </si>
  <si>
    <t>3.26</t>
  </si>
  <si>
    <t>3.37</t>
  </si>
  <si>
    <t>3.54</t>
  </si>
  <si>
    <t>3.79</t>
  </si>
  <si>
    <t>4.12</t>
  </si>
  <si>
    <t>4.90</t>
  </si>
  <si>
    <t>A-</t>
  </si>
  <si>
    <t>3.32</t>
  </si>
  <si>
    <t>3.52</t>
  </si>
  <si>
    <t>3.84</t>
  </si>
  <si>
    <t>4.13</t>
  </si>
  <si>
    <t>4.57</t>
  </si>
  <si>
    <t>5.50</t>
  </si>
  <si>
    <t>BBB+</t>
  </si>
  <si>
    <t>3.68</t>
  </si>
  <si>
    <t>4.09</t>
  </si>
  <si>
    <t>4.51</t>
  </si>
  <si>
    <t>4.74</t>
  </si>
  <si>
    <t>5.34</t>
  </si>
  <si>
    <t>6.17</t>
  </si>
  <si>
    <t>6.88</t>
  </si>
  <si>
    <t>7.39</t>
  </si>
  <si>
    <t>BBB</t>
  </si>
  <si>
    <t>4.06</t>
  </si>
  <si>
    <t>4.59</t>
  </si>
  <si>
    <t>5.09</t>
  </si>
  <si>
    <t>5.41</t>
  </si>
  <si>
    <t>6.15</t>
  </si>
  <si>
    <t>7.11</t>
  </si>
  <si>
    <t>7.93</t>
  </si>
  <si>
    <t>8.44</t>
  </si>
  <si>
    <t>BBB-</t>
  </si>
  <si>
    <t>4.73</t>
  </si>
  <si>
    <t>5.38</t>
  </si>
  <si>
    <t>6.02</t>
  </si>
  <si>
    <t>6.41</t>
  </si>
  <si>
    <t>7.28</t>
  </si>
  <si>
    <t>8.28</t>
  </si>
  <si>
    <t>9.29</t>
  </si>
  <si>
    <t>9.86</t>
  </si>
  <si>
    <t>등급분포 - 등급별 금리스프레드 - 스프레드(2026.01.09)</t>
  </si>
  <si>
    <t>2.39&amp;#37;</t>
  </si>
  <si>
    <t>2.37&amp;#37;</t>
  </si>
  <si>
    <t>2.45&amp;#37;</t>
  </si>
  <si>
    <t>2.51&amp;#37;</t>
  </si>
  <si>
    <t>2.75&amp;#37;</t>
  </si>
  <si>
    <t>2.82&amp;#37;</t>
  </si>
  <si>
    <t>2.94&amp;#37;</t>
  </si>
  <si>
    <t>3.19&amp;#37;</t>
  </si>
  <si>
    <t>46.00</t>
  </si>
  <si>
    <t>50.00</t>
  </si>
  <si>
    <t>45.00</t>
  </si>
  <si>
    <t>24.00</t>
  </si>
  <si>
    <t>33.00</t>
  </si>
  <si>
    <t>34.00</t>
  </si>
  <si>
    <t>32.00</t>
  </si>
  <si>
    <t>52.00</t>
  </si>
  <si>
    <t>55.00</t>
  </si>
  <si>
    <t>51.00</t>
  </si>
  <si>
    <t>48.00</t>
  </si>
  <si>
    <t>30.00</t>
  </si>
  <si>
    <t>40.00</t>
  </si>
  <si>
    <t>42.00</t>
  </si>
  <si>
    <t>38.00</t>
  </si>
  <si>
    <t>57.00</t>
  </si>
  <si>
    <t>53.00</t>
  </si>
  <si>
    <t>60.00</t>
  </si>
  <si>
    <t>35.00</t>
  </si>
  <si>
    <t>47.00</t>
  </si>
  <si>
    <t>61.00</t>
  </si>
  <si>
    <t>65.00</t>
  </si>
  <si>
    <t>66.00</t>
  </si>
  <si>
    <t>71.00</t>
  </si>
  <si>
    <t>63.00</t>
  </si>
  <si>
    <t>80.00</t>
  </si>
  <si>
    <t>92.00</t>
  </si>
  <si>
    <t>127.00</t>
  </si>
  <si>
    <t>77.00</t>
  </si>
  <si>
    <t>81.00</t>
  </si>
  <si>
    <t>86.00</t>
  </si>
  <si>
    <t>79.00</t>
  </si>
  <si>
    <t>97.00</t>
  </si>
  <si>
    <t>118.00</t>
  </si>
  <si>
    <t>171.00</t>
  </si>
  <si>
    <t>93.00</t>
  </si>
  <si>
    <t>102.00</t>
  </si>
  <si>
    <t>107.00</t>
  </si>
  <si>
    <t>113.00</t>
  </si>
  <si>
    <t>109.00</t>
  </si>
  <si>
    <t>131.00</t>
  </si>
  <si>
    <t>163.00</t>
  </si>
  <si>
    <t>231.00</t>
  </si>
  <si>
    <t>129.00</t>
  </si>
  <si>
    <t>172.00</t>
  </si>
  <si>
    <t>206.00</t>
  </si>
  <si>
    <t>223.00</t>
  </si>
  <si>
    <t>259.00</t>
  </si>
  <si>
    <t>335.00</t>
  </si>
  <si>
    <t>394.00</t>
  </si>
  <si>
    <t>420.00</t>
  </si>
  <si>
    <t>167.00</t>
  </si>
  <si>
    <t>222.00</t>
  </si>
  <si>
    <t>264.00</t>
  </si>
  <si>
    <t>290.00</t>
  </si>
  <si>
    <t>340.00</t>
  </si>
  <si>
    <t>429.00</t>
  </si>
  <si>
    <t>499.00</t>
  </si>
  <si>
    <t>525.00</t>
  </si>
  <si>
    <t>234.00</t>
  </si>
  <si>
    <t>301.00</t>
  </si>
  <si>
    <t>357.00</t>
  </si>
  <si>
    <t>390.00</t>
  </si>
  <si>
    <t>453.00</t>
  </si>
  <si>
    <t>546.00</t>
  </si>
  <si>
    <t>635.00</t>
  </si>
  <si>
    <t>667.00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</si>
</sst>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;[Red]\-0\ "/>
    <numFmt numFmtId="177" formatCode="0_ 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49" fontId="18" fillId="34" borderId="10" xfId="0" applyNumberFormat="1" applyFont="1" applyFill="1" applyBorder="1" applyAlignment="1">
      <alignment horizontal="left" vertical="center" wrapText="1"/>
    </xf>
    <xf numFmtId="0" fontId="0" fillId="0" borderId="11" xfId="0" applyBorder="1">
      <alignment vertical="center"/>
    </xf>
    <xf numFmtId="176" fontId="0" fillId="0" borderId="0" xfId="0" applyNumberFormat="1">
      <alignment vertical="center"/>
    </xf>
    <xf numFmtId="177" fontId="18" fillId="34" borderId="10" xfId="0" applyNumberFormat="1" applyFont="1" applyFill="1" applyBorder="1" applyAlignment="1">
      <alignment horizontal="left" vertical="center" wrapText="1"/>
    </xf>
    <xf numFmtId="0" fontId="0" fillId="0" borderId="0" xfId="0" applyFill="1" applyBorder="1">
      <alignment vertical="center"/>
    </xf>
    <xf numFmtId="177" fontId="18" fillId="34" borderId="0" xfId="0" applyNumberFormat="1" applyFont="1" applyFill="1" applyBorder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"/>
  <sheetViews>
    <sheetView showGridLines="0" tabSelected="1" workbookViewId="0">
      <selection activeCell="B5" sqref="B5"/>
    </sheetView>
  </sheetViews>
  <sheetFormatPr defaultRowHeight="16.5" x14ac:dyDescent="0.3"/>
  <cols>
    <col min="1" max="1" customWidth="true" width="19.875" collapsed="false"/>
    <col min="2" max="5" customWidth="true" width="16.75" collapsed="false"/>
    <col min="6" max="6" customWidth="true" width="21.0" collapsed="false"/>
    <col min="7" max="8" customWidth="true" width="16.75" collapsed="false"/>
    <col min="9" max="9" customWidth="true" width="17.375" collapsed="false"/>
    <col min="13" max="21" customWidth="true" hidden="true" width="0.0" collapsed="false"/>
  </cols>
  <sheetData>
    <row r="1" spans="1:54" x14ac:dyDescent="0.3">
      <c r="A1" s="1" t="s">
        <v>35</v>
      </c>
    </row>
    <row r="2" spans="1:5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54" x14ac:dyDescent="0.3" ht="16.5" customHeight="true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</row>
    <row r="4" ht="16.5" customHeight="tru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</row>
    <row r="5" ht="16.5" customHeight="true">
      <c r="A5" s="3" t="s">
        <v>54</v>
      </c>
      <c r="B5" s="3" t="s">
        <v>55</v>
      </c>
      <c r="C5" s="3" t="s">
        <v>56</v>
      </c>
      <c r="D5" s="3" t="s">
        <v>49</v>
      </c>
      <c r="E5" s="3" t="s">
        <v>50</v>
      </c>
      <c r="F5" s="3" t="s">
        <v>57</v>
      </c>
      <c r="G5" s="3" t="s">
        <v>58</v>
      </c>
      <c r="H5" s="3" t="s">
        <v>59</v>
      </c>
      <c r="I5" s="3" t="s">
        <v>60</v>
      </c>
    </row>
    <row r="6" ht="16.5" customHeight="true">
      <c r="A6" s="3" t="s">
        <v>61</v>
      </c>
      <c r="B6" s="3" t="s">
        <v>43</v>
      </c>
      <c r="C6" s="3" t="s">
        <v>43</v>
      </c>
      <c r="D6" s="3" t="s">
        <v>62</v>
      </c>
      <c r="E6" s="3" t="s">
        <v>63</v>
      </c>
      <c r="F6" s="3" t="s">
        <v>64</v>
      </c>
      <c r="G6" s="3" t="s">
        <v>65</v>
      </c>
      <c r="H6" s="3" t="s">
        <v>66</v>
      </c>
      <c r="I6" s="3" t="s">
        <v>67</v>
      </c>
    </row>
    <row r="7" ht="16.5" customHeight="true">
      <c r="A7" s="3" t="s">
        <v>68</v>
      </c>
      <c r="B7" s="3" t="s">
        <v>49</v>
      </c>
      <c r="C7" s="3" t="s">
        <v>69</v>
      </c>
      <c r="D7" s="3" t="s">
        <v>63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</row>
    <row r="8" ht="16.5" customHeight="true">
      <c r="A8" s="3" t="s">
        <v>75</v>
      </c>
      <c r="B8" s="3" t="s">
        <v>76</v>
      </c>
      <c r="C8" s="3" t="s">
        <v>63</v>
      </c>
      <c r="D8" s="3" t="s">
        <v>77</v>
      </c>
      <c r="E8" s="3" t="s">
        <v>58</v>
      </c>
      <c r="F8" s="3" t="s">
        <v>78</v>
      </c>
      <c r="G8" s="3" t="s">
        <v>79</v>
      </c>
      <c r="H8" s="3" t="s">
        <v>80</v>
      </c>
      <c r="I8" s="3" t="s">
        <v>81</v>
      </c>
    </row>
    <row r="9" ht="16.5" customHeight="true">
      <c r="A9" s="3" t="s">
        <v>82</v>
      </c>
      <c r="B9" s="3" t="s">
        <v>71</v>
      </c>
      <c r="C9" s="3" t="s">
        <v>83</v>
      </c>
      <c r="D9" s="3" t="s">
        <v>84</v>
      </c>
      <c r="E9" s="3" t="s">
        <v>85</v>
      </c>
      <c r="F9" s="3" t="s">
        <v>86</v>
      </c>
      <c r="G9" s="3" t="s">
        <v>87</v>
      </c>
      <c r="H9" s="3" t="s">
        <v>88</v>
      </c>
      <c r="I9" s="3" t="s">
        <v>89</v>
      </c>
    </row>
    <row r="10" ht="16.5" customHeight="true">
      <c r="A10" s="3" t="s">
        <v>90</v>
      </c>
      <c r="B10" s="3" t="s">
        <v>91</v>
      </c>
      <c r="C10" s="3" t="s">
        <v>66</v>
      </c>
      <c r="D10" s="3" t="s">
        <v>92</v>
      </c>
      <c r="E10" s="3" t="s">
        <v>67</v>
      </c>
      <c r="F10" s="3" t="s">
        <v>93</v>
      </c>
      <c r="G10" s="3" t="s">
        <v>94</v>
      </c>
      <c r="H10" s="3" t="s">
        <v>95</v>
      </c>
      <c r="I10" s="3" t="s">
        <v>96</v>
      </c>
    </row>
    <row r="11" ht="16.5" customHeight="true">
      <c r="A11" s="3" t="s">
        <v>97</v>
      </c>
      <c r="B11" s="3" t="s">
        <v>98</v>
      </c>
      <c r="C11" s="3" t="s">
        <v>99</v>
      </c>
      <c r="D11" s="3" t="s">
        <v>100</v>
      </c>
      <c r="E11" s="3" t="s">
        <v>101</v>
      </c>
      <c r="F11" s="3" t="s">
        <v>102</v>
      </c>
      <c r="G11" s="3" t="s">
        <v>103</v>
      </c>
      <c r="H11" s="3" t="s">
        <v>104</v>
      </c>
      <c r="I11" s="3" t="s">
        <v>105</v>
      </c>
    </row>
    <row r="12" ht="16.5" customHeight="true">
      <c r="A12" s="3" t="s">
        <v>106</v>
      </c>
      <c r="B12" s="3" t="s">
        <v>107</v>
      </c>
      <c r="C12" s="3" t="s">
        <v>108</v>
      </c>
      <c r="D12" s="3" t="s">
        <v>109</v>
      </c>
      <c r="E12" s="3" t="s">
        <v>110</v>
      </c>
      <c r="F12" s="3" t="s">
        <v>111</v>
      </c>
      <c r="G12" s="3" t="s">
        <v>112</v>
      </c>
      <c r="H12" s="3" t="s">
        <v>113</v>
      </c>
      <c r="I12" s="3" t="s">
        <v>114</v>
      </c>
    </row>
    <row r="13" ht="16.5" customHeight="true">
      <c r="A13" s="3" t="s">
        <v>115</v>
      </c>
      <c r="B13" s="3" t="s">
        <v>116</v>
      </c>
      <c r="C13" s="3" t="s">
        <v>117</v>
      </c>
      <c r="D13" s="3" t="s">
        <v>118</v>
      </c>
      <c r="E13" s="3" t="s">
        <v>119</v>
      </c>
      <c r="F13" s="3" t="s">
        <v>120</v>
      </c>
      <c r="G13" s="3" t="s">
        <v>121</v>
      </c>
      <c r="H13" s="3" t="s">
        <v>122</v>
      </c>
      <c r="I13" s="3" t="s">
        <v>123</v>
      </c>
    </row>
    <row r="16" spans="1:54" x14ac:dyDescent="0.3" ht="16.5" customHeight="true">
      <c r="A16" s="1" t="s">
        <v>124</v>
      </c>
    </row>
    <row r="17" spans="1:54" x14ac:dyDescent="0.3" ht="16.5" customHeight="true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</row>
    <row r="18" spans="1:54" x14ac:dyDescent="0.3" ht="16.5" customHeight="true">
      <c r="A18" s="3" t="s">
        <v>36</v>
      </c>
      <c r="B18" s="3" t="s">
        <v>125</v>
      </c>
      <c r="C18" s="3" t="s">
        <v>126</v>
      </c>
      <c r="D18" s="3" t="s">
        <v>127</v>
      </c>
      <c r="E18" s="3" t="s">
        <v>128</v>
      </c>
      <c r="F18" s="3" t="s">
        <v>129</v>
      </c>
      <c r="G18" s="3" t="s">
        <v>130</v>
      </c>
      <c r="H18" s="3" t="s">
        <v>131</v>
      </c>
      <c r="I18" s="3" t="s">
        <v>132</v>
      </c>
    </row>
    <row r="19" ht="16.5" customHeight="true">
      <c r="A19" s="3" t="s">
        <v>45</v>
      </c>
      <c r="B19" s="6" t="s">
        <f>TEXT(N19,M19)</f>
      </c>
      <c r="C19" s="6" t="s">
        <f>TEXT(O19,M19)</f>
      </c>
      <c r="D19" s="6" t="s">
        <f>TEXT(P19,M19)</f>
      </c>
      <c r="E19" s="6" t="s">
        <f>TEXT(Q19,M19)</f>
      </c>
      <c r="F19" s="6" t="s">
        <f>TEXT(R19,M19)</f>
      </c>
      <c r="G19" s="6" t="s">
        <f>TEXT(S19,M19)</f>
      </c>
      <c r="H19" s="6" t="s">
        <f>TEXT(T19,M19)</f>
      </c>
      <c r="I19" s="6" t="s">
        <f>TEXT(U19,M19)</f>
      </c>
      <c r="M19" s="0" t="s">
        <v>23</v>
      </c>
      <c r="N19" s="8" t="s">
        <v>133</v>
      </c>
      <c r="O19" s="8" t="s">
        <v>134</v>
      </c>
      <c r="P19" s="8" t="s">
        <v>135</v>
      </c>
      <c r="Q19" s="8" t="s">
        <v>135</v>
      </c>
      <c r="R19" s="8" t="s">
        <v>136</v>
      </c>
      <c r="S19" s="8" t="s">
        <v>137</v>
      </c>
      <c r="T19" s="8" t="s">
        <v>138</v>
      </c>
      <c r="U19" s="8" t="s">
        <v>139</v>
      </c>
    </row>
    <row r="20" ht="16.5" customHeight="true">
      <c r="A20" s="3" t="s">
        <v>54</v>
      </c>
      <c r="B20" s="6" t="s">
        <f>TEXT(N20,M20)</f>
      </c>
      <c r="C20" s="6" t="s">
        <f>TEXT(O20,M20)</f>
      </c>
      <c r="D20" s="6" t="s">
        <f>TEXT(P20,M20)</f>
      </c>
      <c r="E20" s="6" t="s">
        <f>TEXT(Q20,M20)</f>
      </c>
      <c r="F20" s="6" t="s">
        <f>TEXT(R20,M20)</f>
      </c>
      <c r="G20" s="6" t="s">
        <f>TEXT(S20,M20)</f>
      </c>
      <c r="H20" s="6" t="s">
        <f>TEXT(T20,M20)</f>
      </c>
      <c r="I20" s="6" t="s">
        <f>TEXT(U20,M20)</f>
      </c>
      <c r="M20" s="0" t="s">
        <v>23</v>
      </c>
      <c r="N20" s="8" t="s">
        <v>140</v>
      </c>
      <c r="O20" s="8" t="s">
        <v>141</v>
      </c>
      <c r="P20" s="8" t="s">
        <v>142</v>
      </c>
      <c r="Q20" s="8" t="s">
        <v>143</v>
      </c>
      <c r="R20" s="8" t="s">
        <v>144</v>
      </c>
      <c r="S20" s="8" t="s">
        <v>145</v>
      </c>
      <c r="T20" s="8" t="s">
        <v>146</v>
      </c>
      <c r="U20" s="8" t="s">
        <v>147</v>
      </c>
    </row>
    <row r="21" ht="16.5" customHeight="true">
      <c r="A21" s="3" t="s">
        <v>61</v>
      </c>
      <c r="B21" s="6" t="s">
        <f>TEXT(N21,M21)</f>
      </c>
      <c r="C21" s="6" t="s">
        <f>TEXT(O21,M21)</f>
      </c>
      <c r="D21" s="6" t="s">
        <f>TEXT(P21,M21)</f>
      </c>
      <c r="E21" s="6" t="s">
        <f>TEXT(Q21,M21)</f>
      </c>
      <c r="F21" s="6" t="s">
        <f>TEXT(R21,M21)</f>
      </c>
      <c r="G21" s="6" t="s">
        <f>TEXT(S21,M21)</f>
      </c>
      <c r="H21" s="6" t="s">
        <f>TEXT(T21,M21)</f>
      </c>
      <c r="I21" s="6" t="s">
        <f>TEXT(U21,M21)</f>
      </c>
      <c r="M21" s="0" t="s">
        <v>23</v>
      </c>
      <c r="N21" s="8" t="s">
        <v>141</v>
      </c>
      <c r="O21" s="8" t="s">
        <v>148</v>
      </c>
      <c r="P21" s="8" t="s">
        <v>149</v>
      </c>
      <c r="Q21" s="8" t="s">
        <v>142</v>
      </c>
      <c r="R21" s="8" t="s">
        <v>139</v>
      </c>
      <c r="S21" s="8" t="s">
        <v>146</v>
      </c>
      <c r="T21" s="8" t="s">
        <v>135</v>
      </c>
      <c r="U21" s="8" t="s">
        <v>135</v>
      </c>
    </row>
    <row r="22" ht="16.5" customHeight="true">
      <c r="A22" s="3" t="s">
        <v>68</v>
      </c>
      <c r="B22" s="6" t="s">
        <f>TEXT(N22,M22)</f>
      </c>
      <c r="C22" s="6" t="s">
        <f>TEXT(O22,M22)</f>
      </c>
      <c r="D22" s="6" t="s">
        <f>TEXT(P22,M22)</f>
      </c>
      <c r="E22" s="6" t="s">
        <f>TEXT(Q22,M22)</f>
      </c>
      <c r="F22" s="6" t="s">
        <f>TEXT(R22,M22)</f>
      </c>
      <c r="G22" s="6" t="s">
        <f>TEXT(S22,M22)</f>
      </c>
      <c r="H22" s="6" t="s">
        <f>TEXT(T22,M22)</f>
      </c>
      <c r="I22" s="6" t="s">
        <f>TEXT(U22,M22)</f>
      </c>
      <c r="M22" s="0" t="s">
        <v>23</v>
      </c>
      <c r="N22" s="8" t="s">
        <v>148</v>
      </c>
      <c r="O22" s="8" t="s">
        <v>150</v>
      </c>
      <c r="P22" s="8" t="s">
        <v>148</v>
      </c>
      <c r="Q22" s="8" t="s">
        <v>141</v>
      </c>
      <c r="R22" s="8" t="s">
        <v>151</v>
      </c>
      <c r="S22" s="8" t="s">
        <v>152</v>
      </c>
      <c r="T22" s="8" t="s">
        <v>134</v>
      </c>
      <c r="U22" s="8" t="s">
        <v>141</v>
      </c>
    </row>
    <row r="23" ht="16.5" customHeight="true">
      <c r="A23" s="3" t="s">
        <v>75</v>
      </c>
      <c r="B23" s="6" t="s">
        <f>TEXT(N23,M23)</f>
      </c>
      <c r="C23" s="6" t="s">
        <f>TEXT(O23,M23)</f>
      </c>
      <c r="D23" s="6" t="s">
        <f>TEXT(P23,M23)</f>
      </c>
      <c r="E23" s="6" t="s">
        <f>TEXT(Q23,M23)</f>
      </c>
      <c r="F23" s="6" t="s">
        <f>TEXT(R23,M23)</f>
      </c>
      <c r="G23" s="6" t="s">
        <f>TEXT(S23,M23)</f>
      </c>
      <c r="H23" s="6" t="s">
        <f>TEXT(T23,M23)</f>
      </c>
      <c r="I23" s="6" t="s">
        <f>TEXT(U23,M23)</f>
      </c>
      <c r="M23" s="0" t="s">
        <v>23</v>
      </c>
      <c r="N23" s="8" t="s">
        <v>153</v>
      </c>
      <c r="O23" s="8" t="s">
        <v>154</v>
      </c>
      <c r="P23" s="8" t="s">
        <v>155</v>
      </c>
      <c r="Q23" s="8" t="s">
        <v>156</v>
      </c>
      <c r="R23" s="8" t="s">
        <v>157</v>
      </c>
      <c r="S23" s="8" t="s">
        <v>158</v>
      </c>
      <c r="T23" s="8" t="s">
        <v>159</v>
      </c>
      <c r="U23" s="8" t="s">
        <v>160</v>
      </c>
    </row>
    <row r="24" ht="16.5" customHeight="true">
      <c r="A24" s="3" t="s">
        <v>82</v>
      </c>
      <c r="B24" s="6" t="s">
        <f>TEXT(N24,M24)</f>
      </c>
      <c r="C24" s="6" t="s">
        <f>TEXT(O24,M24)</f>
      </c>
      <c r="D24" s="6" t="s">
        <f>TEXT(P24,M24)</f>
      </c>
      <c r="E24" s="6" t="s">
        <f>TEXT(Q24,M24)</f>
      </c>
      <c r="F24" s="6" t="s">
        <f>TEXT(R24,M24)</f>
      </c>
      <c r="G24" s="6" t="s">
        <f>TEXT(S24,M24)</f>
      </c>
      <c r="H24" s="6" t="s">
        <f>TEXT(T24,M24)</f>
      </c>
      <c r="I24" s="6" t="s">
        <f>TEXT(U24,M24)</f>
      </c>
      <c r="M24" s="0" t="s">
        <v>23</v>
      </c>
      <c r="N24" s="8" t="s">
        <v>156</v>
      </c>
      <c r="O24" s="8" t="s">
        <v>161</v>
      </c>
      <c r="P24" s="8" t="s">
        <v>162</v>
      </c>
      <c r="Q24" s="8" t="s">
        <v>163</v>
      </c>
      <c r="R24" s="8" t="s">
        <v>164</v>
      </c>
      <c r="S24" s="8" t="s">
        <v>165</v>
      </c>
      <c r="T24" s="8" t="s">
        <v>166</v>
      </c>
      <c r="U24" s="8" t="s">
        <v>167</v>
      </c>
    </row>
    <row r="25" ht="16.5" customHeight="true">
      <c r="A25" s="3" t="s">
        <v>90</v>
      </c>
      <c r="B25" s="6" t="s">
        <f>TEXT(N25,M25)</f>
      </c>
      <c r="C25" s="6" t="s">
        <f>TEXT(O25,M25)</f>
      </c>
      <c r="D25" s="6" t="s">
        <f>TEXT(P25,M25)</f>
      </c>
      <c r="E25" s="6" t="s">
        <f>TEXT(Q25,M25)</f>
      </c>
      <c r="F25" s="6" t="s">
        <f>TEXT(R25,M25)</f>
      </c>
      <c r="G25" s="6" t="s">
        <f>TEXT(S25,M25)</f>
      </c>
      <c r="H25" s="6" t="s">
        <f>TEXT(T25,M25)</f>
      </c>
      <c r="I25" s="6" t="s">
        <f>TEXT(U25,M25)</f>
      </c>
      <c r="M25" s="0" t="s">
        <v>23</v>
      </c>
      <c r="N25" s="8" t="s">
        <v>168</v>
      </c>
      <c r="O25" s="8" t="s">
        <v>169</v>
      </c>
      <c r="P25" s="8" t="s">
        <v>170</v>
      </c>
      <c r="Q25" s="8" t="s">
        <v>171</v>
      </c>
      <c r="R25" s="8" t="s">
        <v>172</v>
      </c>
      <c r="S25" s="8" t="s">
        <v>173</v>
      </c>
      <c r="T25" s="8" t="s">
        <v>174</v>
      </c>
      <c r="U25" s="8" t="s">
        <v>175</v>
      </c>
    </row>
    <row r="26" ht="16.5" customHeight="true">
      <c r="A26" s="3" t="s">
        <v>97</v>
      </c>
      <c r="B26" s="6" t="s">
        <f>TEXT(N26,M26)</f>
      </c>
      <c r="C26" s="6" t="s">
        <f>TEXT(O26,M26)</f>
      </c>
      <c r="D26" s="6" t="s">
        <f>TEXT(P26,M26)</f>
      </c>
      <c r="E26" s="6" t="s">
        <f>TEXT(Q26,M26)</f>
      </c>
      <c r="F26" s="6" t="s">
        <f>TEXT(R26,M26)</f>
      </c>
      <c r="G26" s="6" t="s">
        <f>TEXT(S26,M26)</f>
      </c>
      <c r="H26" s="6" t="s">
        <f>TEXT(T26,M26)</f>
      </c>
      <c r="I26" s="6" t="s">
        <f>TEXT(U26,M26)</f>
      </c>
      <c r="M26" s="0" t="s">
        <v>23</v>
      </c>
      <c r="N26" s="8" t="s">
        <v>176</v>
      </c>
      <c r="O26" s="8" t="s">
        <v>177</v>
      </c>
      <c r="P26" s="8" t="s">
        <v>178</v>
      </c>
      <c r="Q26" s="8" t="s">
        <v>179</v>
      </c>
      <c r="R26" s="8" t="s">
        <v>180</v>
      </c>
      <c r="S26" s="8" t="s">
        <v>181</v>
      </c>
      <c r="T26" s="8" t="s">
        <v>182</v>
      </c>
      <c r="U26" s="8" t="s">
        <v>183</v>
      </c>
    </row>
    <row r="27" ht="16.5" customHeight="true">
      <c r="A27" s="3" t="s">
        <v>106</v>
      </c>
      <c r="B27" s="6" t="s">
        <f>TEXT(N27,M27)</f>
      </c>
      <c r="C27" s="6" t="s">
        <f>TEXT(O27,M27)</f>
      </c>
      <c r="D27" s="6" t="s">
        <f>TEXT(P27,M27)</f>
      </c>
      <c r="E27" s="6" t="s">
        <f>TEXT(Q27,M27)</f>
      </c>
      <c r="F27" s="6" t="s">
        <f>TEXT(R27,M27)</f>
      </c>
      <c r="G27" s="6" t="s">
        <f>TEXT(S27,M27)</f>
      </c>
      <c r="H27" s="6" t="s">
        <f>TEXT(T27,M27)</f>
      </c>
      <c r="I27" s="6" t="s">
        <f>TEXT(U27,M27)</f>
      </c>
      <c r="M27" s="0" t="s">
        <v>23</v>
      </c>
      <c r="N27" s="8" t="s">
        <v>184</v>
      </c>
      <c r="O27" s="8" t="s">
        <v>185</v>
      </c>
      <c r="P27" s="8" t="s">
        <v>186</v>
      </c>
      <c r="Q27" s="8" t="s">
        <v>187</v>
      </c>
      <c r="R27" s="8" t="s">
        <v>188</v>
      </c>
      <c r="S27" s="8" t="s">
        <v>189</v>
      </c>
      <c r="T27" s="8" t="s">
        <v>190</v>
      </c>
      <c r="U27" s="8" t="s">
        <v>191</v>
      </c>
    </row>
    <row r="28" ht="16.5" customHeight="true">
      <c r="A28" s="3" t="s">
        <v>115</v>
      </c>
      <c r="B28" s="6" t="s">
        <f>TEXT(N28,M28)</f>
      </c>
      <c r="C28" s="6" t="s">
        <f>TEXT(O28,M28)</f>
      </c>
      <c r="D28" s="6" t="s">
        <f>TEXT(P28,M28)</f>
      </c>
      <c r="E28" s="6" t="s">
        <f>TEXT(Q28,M28)</f>
      </c>
      <c r="F28" s="6" t="s">
        <f>TEXT(R28,M28)</f>
      </c>
      <c r="G28" s="6" t="s">
        <f>TEXT(S28,M28)</f>
      </c>
      <c r="H28" s="6" t="s">
        <f>TEXT(T28,M28)</f>
      </c>
      <c r="I28" s="6" t="s">
        <f>TEXT(U28,M28)</f>
      </c>
      <c r="M28" s="0" t="s">
        <v>23</v>
      </c>
      <c r="N28" s="8" t="s">
        <v>192</v>
      </c>
      <c r="O28" s="8" t="s">
        <v>193</v>
      </c>
      <c r="P28" s="8" t="s">
        <v>194</v>
      </c>
      <c r="Q28" s="8" t="s">
        <v>195</v>
      </c>
      <c r="R28" s="8" t="s">
        <v>196</v>
      </c>
      <c r="S28" s="8" t="s">
        <v>197</v>
      </c>
      <c r="T28" s="8" t="s">
        <v>198</v>
      </c>
      <c r="U28" s="8" t="s">
        <v>199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2017-03-14T01:50:19Z</dcterms:created>
  <dc:creator>USER</dc:creator>
  <lastModifiedBy>Windows 사용자</lastModifiedBy>
  <dcterms:modified xsi:type="dcterms:W3CDTF">2017-03-18T07:07:44Z</dcterms:modified>
  <dc:title>Untitled Document</dc:title>
</coreProperties>
</file>